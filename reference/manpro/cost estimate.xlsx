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yza\IBMskillbuild\Module3\reference\manpro\"/>
    </mc:Choice>
  </mc:AlternateContent>
  <xr:revisionPtr revIDLastSave="0" documentId="8_{C7509EBB-A221-4E73-8D88-736F33834C46}" xr6:coauthVersionLast="47" xr6:coauthVersionMax="47" xr10:uidLastSave="{00000000-0000-0000-0000-000000000000}"/>
  <bookViews>
    <workbookView xWindow="1860" yWindow="1860" windowWidth="21600" windowHeight="12645" xr2:uid="{C591ABEF-2704-403C-A6A1-9B4C7DDD29F5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G7" i="1"/>
  <c r="H7" i="1"/>
  <c r="D8" i="1"/>
  <c r="H8" i="1" s="1"/>
  <c r="J8" i="1" s="1"/>
  <c r="G8" i="1"/>
  <c r="D9" i="1"/>
  <c r="H9" i="1" s="1"/>
  <c r="J9" i="1" s="1"/>
  <c r="G9" i="1"/>
  <c r="G22" i="1" s="1"/>
  <c r="D10" i="1"/>
  <c r="G10" i="1"/>
  <c r="H10" i="1"/>
  <c r="J10" i="1"/>
  <c r="D11" i="1"/>
  <c r="H11" i="1" s="1"/>
  <c r="J11" i="1" s="1"/>
  <c r="G11" i="1"/>
  <c r="D12" i="1"/>
  <c r="H12" i="1" s="1"/>
  <c r="J12" i="1" s="1"/>
  <c r="G12" i="1"/>
  <c r="D13" i="1"/>
  <c r="G13" i="1"/>
  <c r="H13" i="1"/>
  <c r="J13" i="1" s="1"/>
  <c r="D14" i="1"/>
  <c r="H14" i="1" s="1"/>
  <c r="J14" i="1" s="1"/>
  <c r="G14" i="1"/>
  <c r="D15" i="1"/>
  <c r="G15" i="1"/>
  <c r="H15" i="1"/>
  <c r="J15" i="1"/>
  <c r="D16" i="1"/>
  <c r="H16" i="1" s="1"/>
  <c r="J16" i="1" s="1"/>
  <c r="G16" i="1"/>
  <c r="D17" i="1"/>
  <c r="G17" i="1"/>
  <c r="H17" i="1"/>
  <c r="J17" i="1" s="1"/>
  <c r="D18" i="1"/>
  <c r="H18" i="1" s="1"/>
  <c r="J18" i="1" s="1"/>
  <c r="G18" i="1"/>
  <c r="D19" i="1"/>
  <c r="G19" i="1"/>
  <c r="H19" i="1"/>
  <c r="J19" i="1" s="1"/>
  <c r="D21" i="1"/>
  <c r="H21" i="1" s="1"/>
  <c r="G21" i="1"/>
  <c r="B22" i="1"/>
  <c r="D22" i="1"/>
  <c r="E22" i="1"/>
  <c r="F22" i="1"/>
  <c r="I22" i="1"/>
  <c r="J7" i="1" l="1"/>
  <c r="J20" i="1" s="1"/>
  <c r="H22" i="1"/>
  <c r="J21" i="1" l="1"/>
  <c r="J22" i="1" s="1"/>
</calcChain>
</file>

<file path=xl/sharedStrings.xml><?xml version="1.0" encoding="utf-8"?>
<sst xmlns="http://schemas.openxmlformats.org/spreadsheetml/2006/main" count="36" uniqueCount="29">
  <si>
    <t>$/hour</t>
  </si>
  <si>
    <t>Total</t>
  </si>
  <si>
    <t>Non-labor $</t>
  </si>
  <si>
    <t>Total Cost</t>
  </si>
  <si>
    <t>Reserves</t>
  </si>
  <si>
    <t>Subtotal</t>
  </si>
  <si>
    <t>Assumptions</t>
  </si>
  <si>
    <t>$ Total</t>
  </si>
  <si>
    <t>Internal</t>
  </si>
  <si>
    <t>Labor</t>
  </si>
  <si>
    <t>External</t>
  </si>
  <si>
    <t>1. Initiating</t>
  </si>
  <si>
    <t>2. Planning</t>
  </si>
  <si>
    <t>3. Executing</t>
  </si>
  <si>
    <t xml:space="preserve">  3.1 Course design and development</t>
  </si>
  <si>
    <t xml:space="preserve">      3.1.2 Negotiating skills training</t>
  </si>
  <si>
    <t xml:space="preserve">      3.1.1 Supplier management training</t>
  </si>
  <si>
    <t xml:space="preserve">      3.1.3  Project management training</t>
  </si>
  <si>
    <t xml:space="preserve">      3.1.4 Software applications training</t>
  </si>
  <si>
    <t xml:space="preserve">   3.2 Course administration</t>
  </si>
  <si>
    <t xml:space="preserve">   3.3.Course evaluation</t>
  </si>
  <si>
    <t xml:space="preserve">   3.4 Stakeholder communications</t>
  </si>
  <si>
    <t>4. Monitoring and Controlling</t>
  </si>
  <si>
    <t>5. Closing</t>
  </si>
  <si>
    <t>WBS Categories</t>
  </si>
  <si>
    <t>Cost Estimate</t>
  </si>
  <si>
    <t>Project Name:</t>
  </si>
  <si>
    <t>Date:</t>
  </si>
  <si>
    <t>Note: Enter your WBS, hours, labor rates, etc. Add/delete rows and columns as needed and check all formulas (bolded below).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</si>
</sst>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6" formatCode="_(&quot;$&quot;* #,##0_);_(&quot;$&quot;* \(#,##0\);_(&quot;$&quot;* &quot;-&quot;??_);_(@_)"/>
    <numFmt numFmtId="168" formatCode="_(* #,##0_);_(* \(#,##0\);_(* &quot;-&quot;??_);_(@_)"/>
    <numFmt numFmtId="169" formatCode="_(* #,##0.0_);_(* \(#,##0.0\);_(* &quot;-&quot;?_);_(@_)"/>
  </numFmts>
  <fonts count="6" x14ac:knownFonts="1">
    <font>
      <sz val="10"/>
      <name val="Arial"/>
    </font>
    <font>
      <sz val="10"/>
      <name val="Arial"/>
    </font>
    <font>
      <sz val="8"/>
      <name val="Arial"/>
    </font>
    <font>
      <b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166" fontId="0" fillId="0" borderId="0" xfId="2" applyNumberFormat="1" applyFont="1"/>
    <xf numFmtId="168" fontId="0" fillId="0" borderId="0" xfId="1" applyNumberFormat="1" applyFont="1"/>
    <xf numFmtId="166" fontId="0" fillId="0" borderId="0" xfId="0" applyNumberFormat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0" fillId="0" borderId="1" xfId="0" applyBorder="1"/>
    <xf numFmtId="168" fontId="0" fillId="0" borderId="1" xfId="1" applyNumberFormat="1" applyFont="1" applyBorder="1"/>
    <xf numFmtId="166" fontId="0" fillId="0" borderId="1" xfId="2" applyNumberFormat="1" applyFont="1" applyBorder="1"/>
    <xf numFmtId="0" fontId="5" fillId="0" borderId="0" xfId="0" applyFont="1"/>
    <xf numFmtId="166" fontId="3" fillId="0" borderId="1" xfId="2" applyNumberFormat="1" applyFont="1" applyBorder="1"/>
    <xf numFmtId="168" fontId="3" fillId="0" borderId="1" xfId="1" applyNumberFormat="1" applyFont="1" applyBorder="1"/>
    <xf numFmtId="0" fontId="5" fillId="0" borderId="1" xfId="0" applyFont="1" applyBorder="1" applyAlignment="1">
      <alignment horizontal="right"/>
    </xf>
    <xf numFmtId="166" fontId="5" fillId="0" borderId="1" xfId="0" applyNumberFormat="1" applyFont="1" applyBorder="1"/>
    <xf numFmtId="169" fontId="5" fillId="0" borderId="1" xfId="0" applyNumberFormat="1" applyFont="1" applyBorder="1"/>
    <xf numFmtId="0" fontId="4" fillId="0" borderId="0" xfId="0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89CCB-3725-4320-83D9-8574D8E4E88B}">
  <dimension ref="A1:K27"/>
  <sheetViews>
    <sheetView tabSelected="1" workbookViewId="0">
      <selection activeCell="A2" sqref="A2"/>
    </sheetView>
  </sheetViews>
  <sheetFormatPr defaultRowHeight="12.75" x14ac:dyDescent="0.2"/>
  <cols>
    <col min="1" max="1" width="34.28515625" customWidth="1"/>
    <col min="2" max="2" width="7" bestFit="1" customWidth="1"/>
    <col min="3" max="3" width="6.7109375" bestFit="1" customWidth="1"/>
    <col min="4" max="4" width="8.7109375" bestFit="1" customWidth="1"/>
    <col min="5" max="5" width="8.5703125" bestFit="1" customWidth="1"/>
    <col min="6" max="6" width="6.7109375" bestFit="1" customWidth="1"/>
    <col min="7" max="7" width="8.7109375" bestFit="1" customWidth="1"/>
    <col min="8" max="8" width="9.7109375" bestFit="1" customWidth="1"/>
    <col min="9" max="9" width="11.42578125" bestFit="1" customWidth="1"/>
    <col min="10" max="10" width="10" bestFit="1" customWidth="1"/>
    <col min="11" max="11" width="9.7109375" bestFit="1" customWidth="1"/>
  </cols>
  <sheetData>
    <row r="1" spans="1:11" ht="20.25" x14ac:dyDescent="0.3">
      <c r="A1" s="16" t="s">
        <v>25</v>
      </c>
      <c r="B1" s="16"/>
      <c r="C1" s="16"/>
      <c r="D1" s="16"/>
      <c r="E1" s="16"/>
      <c r="F1" s="16"/>
      <c r="G1" s="16"/>
      <c r="H1" s="16"/>
      <c r="I1" s="16"/>
      <c r="J1" s="16"/>
    </row>
    <row r="2" spans="1:11" x14ac:dyDescent="0.2">
      <c r="A2" s="4" t="s">
        <v>26</v>
      </c>
      <c r="B2" s="4" t="s">
        <v>27</v>
      </c>
    </row>
    <row r="3" spans="1:11" x14ac:dyDescent="0.2">
      <c r="A3" s="10" t="s">
        <v>28</v>
      </c>
      <c r="B3" s="4"/>
    </row>
    <row r="5" spans="1:11" x14ac:dyDescent="0.2">
      <c r="A5" s="5"/>
      <c r="B5" s="6" t="s">
        <v>8</v>
      </c>
      <c r="C5" s="6" t="s">
        <v>0</v>
      </c>
      <c r="D5" s="6" t="s">
        <v>8</v>
      </c>
      <c r="E5" s="6" t="s">
        <v>10</v>
      </c>
      <c r="F5" s="6" t="s">
        <v>0</v>
      </c>
      <c r="G5" s="6" t="s">
        <v>10</v>
      </c>
      <c r="H5" s="6" t="s">
        <v>1</v>
      </c>
      <c r="I5" s="6" t="s">
        <v>2</v>
      </c>
      <c r="J5" s="6" t="s">
        <v>3</v>
      </c>
    </row>
    <row r="6" spans="1:11" x14ac:dyDescent="0.2">
      <c r="A6" s="5" t="s">
        <v>24</v>
      </c>
      <c r="B6" s="6" t="s">
        <v>9</v>
      </c>
      <c r="C6" s="6"/>
      <c r="D6" s="6" t="s">
        <v>7</v>
      </c>
      <c r="E6" s="6" t="s">
        <v>9</v>
      </c>
      <c r="F6" s="6"/>
      <c r="G6" s="6" t="s">
        <v>7</v>
      </c>
      <c r="H6" s="6" t="s">
        <v>9</v>
      </c>
      <c r="I6" s="6"/>
      <c r="J6" s="13"/>
    </row>
    <row r="7" spans="1:11" x14ac:dyDescent="0.2">
      <c r="A7" s="7" t="s">
        <v>11</v>
      </c>
      <c r="B7" s="8">
        <v>200</v>
      </c>
      <c r="C7" s="9">
        <v>65</v>
      </c>
      <c r="D7" s="11">
        <f>B7*C7</f>
        <v>13000</v>
      </c>
      <c r="E7" s="8"/>
      <c r="F7" s="9"/>
      <c r="G7" s="11">
        <f>E7*F7</f>
        <v>0</v>
      </c>
      <c r="H7" s="11">
        <f>D7+G7</f>
        <v>13000</v>
      </c>
      <c r="I7" s="9"/>
      <c r="J7" s="14">
        <f>H7+I7</f>
        <v>13000</v>
      </c>
      <c r="K7" s="3"/>
    </row>
    <row r="8" spans="1:11" x14ac:dyDescent="0.2">
      <c r="A8" s="7" t="s">
        <v>12</v>
      </c>
      <c r="B8" s="8">
        <v>600</v>
      </c>
      <c r="C8" s="9">
        <v>60</v>
      </c>
      <c r="D8" s="11">
        <f t="shared" ref="D8:D21" si="0">B8*C8</f>
        <v>36000</v>
      </c>
      <c r="E8" s="8"/>
      <c r="F8" s="9"/>
      <c r="G8" s="11">
        <f>E8*F8</f>
        <v>0</v>
      </c>
      <c r="H8" s="11">
        <f t="shared" ref="H8:H21" si="1">D8+G8</f>
        <v>36000</v>
      </c>
      <c r="I8" s="9"/>
      <c r="J8" s="14">
        <f t="shared" ref="J8:J19" si="2">H8+I8</f>
        <v>36000</v>
      </c>
      <c r="K8" s="3"/>
    </row>
    <row r="9" spans="1:11" x14ac:dyDescent="0.2">
      <c r="A9" s="7" t="s">
        <v>13</v>
      </c>
      <c r="B9" s="8"/>
      <c r="C9" s="9"/>
      <c r="D9" s="11">
        <f t="shared" si="0"/>
        <v>0</v>
      </c>
      <c r="E9" s="8"/>
      <c r="F9" s="9"/>
      <c r="G9" s="11">
        <f>E9*F9</f>
        <v>0</v>
      </c>
      <c r="H9" s="11">
        <f t="shared" si="1"/>
        <v>0</v>
      </c>
      <c r="I9" s="9"/>
      <c r="J9" s="14">
        <f t="shared" si="2"/>
        <v>0</v>
      </c>
      <c r="K9" s="3"/>
    </row>
    <row r="10" spans="1:11" x14ac:dyDescent="0.2">
      <c r="A10" s="7" t="s">
        <v>14</v>
      </c>
      <c r="B10" s="8"/>
      <c r="C10" s="9"/>
      <c r="D10" s="11">
        <f t="shared" si="0"/>
        <v>0</v>
      </c>
      <c r="E10" s="8"/>
      <c r="F10" s="9"/>
      <c r="G10" s="11">
        <f>E10*F10</f>
        <v>0</v>
      </c>
      <c r="H10" s="11">
        <f t="shared" si="1"/>
        <v>0</v>
      </c>
      <c r="I10" s="9"/>
      <c r="J10" s="14">
        <f t="shared" si="2"/>
        <v>0</v>
      </c>
      <c r="K10" s="3"/>
    </row>
    <row r="11" spans="1:11" x14ac:dyDescent="0.2">
      <c r="A11" s="7" t="s">
        <v>16</v>
      </c>
      <c r="B11" s="8">
        <v>600</v>
      </c>
      <c r="C11" s="9">
        <v>60</v>
      </c>
      <c r="D11" s="11">
        <f t="shared" si="0"/>
        <v>36000</v>
      </c>
      <c r="E11" s="8">
        <v>600</v>
      </c>
      <c r="F11" s="9">
        <v>150</v>
      </c>
      <c r="G11" s="11">
        <f>E11*F11</f>
        <v>90000</v>
      </c>
      <c r="H11" s="11">
        <f t="shared" si="1"/>
        <v>126000</v>
      </c>
      <c r="I11" s="9">
        <v>100000</v>
      </c>
      <c r="J11" s="14">
        <f t="shared" si="2"/>
        <v>226000</v>
      </c>
    </row>
    <row r="12" spans="1:11" x14ac:dyDescent="0.2">
      <c r="A12" s="7" t="s">
        <v>15</v>
      </c>
      <c r="B12" s="8">
        <v>300</v>
      </c>
      <c r="C12" s="9">
        <v>55</v>
      </c>
      <c r="D12" s="11">
        <f t="shared" si="0"/>
        <v>16500</v>
      </c>
      <c r="E12" s="8">
        <v>300</v>
      </c>
      <c r="F12" s="9">
        <v>150</v>
      </c>
      <c r="G12" s="11">
        <f t="shared" ref="G12:G21" si="3">E12*F12</f>
        <v>45000</v>
      </c>
      <c r="H12" s="11">
        <f t="shared" si="1"/>
        <v>61500</v>
      </c>
      <c r="I12" s="9">
        <v>50000</v>
      </c>
      <c r="J12" s="14">
        <f t="shared" si="2"/>
        <v>111500</v>
      </c>
    </row>
    <row r="13" spans="1:11" x14ac:dyDescent="0.2">
      <c r="A13" s="7" t="s">
        <v>17</v>
      </c>
      <c r="B13" s="8">
        <v>400</v>
      </c>
      <c r="C13" s="9">
        <v>60</v>
      </c>
      <c r="D13" s="11">
        <f t="shared" si="0"/>
        <v>24000</v>
      </c>
      <c r="E13" s="8">
        <v>400</v>
      </c>
      <c r="F13" s="9">
        <v>150</v>
      </c>
      <c r="G13" s="11">
        <f t="shared" si="3"/>
        <v>60000</v>
      </c>
      <c r="H13" s="11">
        <f t="shared" si="1"/>
        <v>84000</v>
      </c>
      <c r="I13" s="9">
        <v>50000</v>
      </c>
      <c r="J13" s="14">
        <f t="shared" si="2"/>
        <v>134000</v>
      </c>
    </row>
    <row r="14" spans="1:11" x14ac:dyDescent="0.2">
      <c r="A14" s="7" t="s">
        <v>18</v>
      </c>
      <c r="B14" s="8">
        <v>400</v>
      </c>
      <c r="C14" s="9">
        <v>60</v>
      </c>
      <c r="D14" s="11">
        <f t="shared" si="0"/>
        <v>24000</v>
      </c>
      <c r="E14" s="8">
        <v>400</v>
      </c>
      <c r="F14" s="9">
        <v>150</v>
      </c>
      <c r="G14" s="11">
        <f t="shared" si="3"/>
        <v>60000</v>
      </c>
      <c r="H14" s="11">
        <f t="shared" si="1"/>
        <v>84000</v>
      </c>
      <c r="I14" s="9">
        <v>50000</v>
      </c>
      <c r="J14" s="14">
        <f t="shared" si="2"/>
        <v>134000</v>
      </c>
    </row>
    <row r="15" spans="1:11" x14ac:dyDescent="0.2">
      <c r="A15" s="7" t="s">
        <v>19</v>
      </c>
      <c r="B15" s="8">
        <v>400</v>
      </c>
      <c r="C15" s="9">
        <v>55</v>
      </c>
      <c r="D15" s="11">
        <f t="shared" si="0"/>
        <v>22000</v>
      </c>
      <c r="E15" s="8">
        <v>300</v>
      </c>
      <c r="F15" s="9">
        <v>250</v>
      </c>
      <c r="G15" s="11">
        <f t="shared" si="3"/>
        <v>75000</v>
      </c>
      <c r="H15" s="11">
        <f t="shared" si="1"/>
        <v>97000</v>
      </c>
      <c r="I15" s="9">
        <v>80000</v>
      </c>
      <c r="J15" s="14">
        <f t="shared" si="2"/>
        <v>177000</v>
      </c>
      <c r="K15" s="3"/>
    </row>
    <row r="16" spans="1:11" x14ac:dyDescent="0.2">
      <c r="A16" s="7" t="s">
        <v>20</v>
      </c>
      <c r="B16" s="8">
        <v>300</v>
      </c>
      <c r="C16" s="9">
        <v>55</v>
      </c>
      <c r="D16" s="11">
        <f t="shared" si="0"/>
        <v>16500</v>
      </c>
      <c r="E16" s="8"/>
      <c r="F16" s="9"/>
      <c r="G16" s="11">
        <f t="shared" si="3"/>
        <v>0</v>
      </c>
      <c r="H16" s="11">
        <f t="shared" si="1"/>
        <v>16500</v>
      </c>
      <c r="I16" s="7"/>
      <c r="J16" s="14">
        <f t="shared" si="2"/>
        <v>16500</v>
      </c>
      <c r="K16" s="3"/>
    </row>
    <row r="17" spans="1:11" x14ac:dyDescent="0.2">
      <c r="A17" s="7" t="s">
        <v>21</v>
      </c>
      <c r="B17" s="8">
        <v>300</v>
      </c>
      <c r="C17" s="9">
        <v>55</v>
      </c>
      <c r="D17" s="11">
        <f t="shared" si="0"/>
        <v>16500</v>
      </c>
      <c r="E17" s="8"/>
      <c r="F17" s="9"/>
      <c r="G17" s="11">
        <f t="shared" si="3"/>
        <v>0</v>
      </c>
      <c r="H17" s="11">
        <f t="shared" si="1"/>
        <v>16500</v>
      </c>
      <c r="I17" s="7"/>
      <c r="J17" s="14">
        <f t="shared" si="2"/>
        <v>16500</v>
      </c>
      <c r="K17" s="3"/>
    </row>
    <row r="18" spans="1:11" x14ac:dyDescent="0.2">
      <c r="A18" s="7" t="s">
        <v>22</v>
      </c>
      <c r="B18" s="8">
        <v>500</v>
      </c>
      <c r="C18" s="9">
        <v>55</v>
      </c>
      <c r="D18" s="11">
        <f t="shared" si="0"/>
        <v>27500</v>
      </c>
      <c r="E18" s="8"/>
      <c r="F18" s="9"/>
      <c r="G18" s="11">
        <f t="shared" si="3"/>
        <v>0</v>
      </c>
      <c r="H18" s="11">
        <f t="shared" si="1"/>
        <v>27500</v>
      </c>
      <c r="I18" s="7"/>
      <c r="J18" s="14">
        <f t="shared" si="2"/>
        <v>27500</v>
      </c>
      <c r="K18" s="3"/>
    </row>
    <row r="19" spans="1:11" x14ac:dyDescent="0.2">
      <c r="A19" s="7" t="s">
        <v>23</v>
      </c>
      <c r="B19" s="8">
        <v>200</v>
      </c>
      <c r="C19" s="9">
        <v>55</v>
      </c>
      <c r="D19" s="11">
        <f t="shared" si="0"/>
        <v>11000</v>
      </c>
      <c r="E19" s="8"/>
      <c r="F19" s="9"/>
      <c r="G19" s="11">
        <f t="shared" si="3"/>
        <v>0</v>
      </c>
      <c r="H19" s="11">
        <f t="shared" si="1"/>
        <v>11000</v>
      </c>
      <c r="I19" s="7"/>
      <c r="J19" s="14">
        <f t="shared" si="2"/>
        <v>11000</v>
      </c>
    </row>
    <row r="20" spans="1:11" x14ac:dyDescent="0.2">
      <c r="A20" s="7" t="s">
        <v>5</v>
      </c>
      <c r="B20" s="8"/>
      <c r="C20" s="9"/>
      <c r="D20" s="11"/>
      <c r="E20" s="8"/>
      <c r="F20" s="9"/>
      <c r="G20" s="11"/>
      <c r="H20" s="11"/>
      <c r="I20" s="7"/>
      <c r="J20" s="14">
        <f>SUM(J7:J19)</f>
        <v>903000</v>
      </c>
    </row>
    <row r="21" spans="1:11" x14ac:dyDescent="0.2">
      <c r="A21" s="7" t="s">
        <v>4</v>
      </c>
      <c r="B21" s="8"/>
      <c r="C21" s="9"/>
      <c r="D21" s="11">
        <f t="shared" si="0"/>
        <v>0</v>
      </c>
      <c r="E21" s="9"/>
      <c r="F21" s="9"/>
      <c r="G21" s="11">
        <f t="shared" si="3"/>
        <v>0</v>
      </c>
      <c r="H21" s="11">
        <f t="shared" si="1"/>
        <v>0</v>
      </c>
      <c r="I21" s="7"/>
      <c r="J21" s="15">
        <f>J20*0.1</f>
        <v>90300</v>
      </c>
    </row>
    <row r="22" spans="1:11" x14ac:dyDescent="0.2">
      <c r="A22" s="5" t="s">
        <v>1</v>
      </c>
      <c r="B22" s="8">
        <f>SUM(B7:B21)</f>
        <v>4200</v>
      </c>
      <c r="C22" s="8"/>
      <c r="D22" s="12">
        <f t="shared" ref="D22:I22" si="4">SUM(D7:D21)</f>
        <v>243000</v>
      </c>
      <c r="E22" s="8">
        <f t="shared" si="4"/>
        <v>2000</v>
      </c>
      <c r="F22" s="8">
        <f t="shared" si="4"/>
        <v>850</v>
      </c>
      <c r="G22" s="12">
        <f t="shared" si="4"/>
        <v>330000</v>
      </c>
      <c r="H22" s="12">
        <f t="shared" si="4"/>
        <v>573000</v>
      </c>
      <c r="I22" s="8">
        <f t="shared" si="4"/>
        <v>330000</v>
      </c>
      <c r="J22" s="14">
        <f>J20+J21</f>
        <v>993300</v>
      </c>
    </row>
    <row r="23" spans="1:11" x14ac:dyDescent="0.2">
      <c r="B23" s="2"/>
      <c r="C23" s="1"/>
      <c r="D23" s="1"/>
      <c r="E23" s="1"/>
      <c r="F23" s="1"/>
      <c r="G23" s="1"/>
      <c r="H23" s="1"/>
      <c r="J23" s="3"/>
    </row>
    <row r="24" spans="1:11" x14ac:dyDescent="0.2">
      <c r="A24" s="4" t="s">
        <v>6</v>
      </c>
      <c r="B24" s="2"/>
      <c r="C24" s="1"/>
      <c r="D24" s="1"/>
      <c r="E24" s="1"/>
      <c r="F24" s="1"/>
      <c r="G24" s="1"/>
      <c r="H24" s="1"/>
      <c r="J24" s="3"/>
    </row>
    <row r="25" spans="1:11" x14ac:dyDescent="0.2">
      <c r="B25" s="2"/>
      <c r="C25" s="1"/>
      <c r="D25" s="1"/>
      <c r="E25" s="1"/>
      <c r="F25" s="1"/>
      <c r="G25" s="1"/>
      <c r="H25" s="1"/>
      <c r="J25" s="3"/>
    </row>
    <row r="26" spans="1:11" x14ac:dyDescent="0.2">
      <c r="B26" s="2"/>
      <c r="C26" s="1"/>
      <c r="D26" s="1"/>
      <c r="E26" s="1"/>
      <c r="F26" s="1"/>
      <c r="G26" s="1"/>
      <c r="H26" s="1"/>
      <c r="J26" s="3"/>
    </row>
    <row r="27" spans="1:11" x14ac:dyDescent="0.2">
      <c r="G27" s="1"/>
    </row>
  </sheetData>
  <mergeCells count="1">
    <mergeCell ref="A1:J1"/>
  </mergeCells>
  <phoneticPr fontId="2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A777-5DF7-47B5-9251-2B0AB24388B9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35ABF-85C2-4606-B856-EC380C4C82C3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Augsburg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schwalbe</dc:creator>
  <cp:lastModifiedBy>Oryza Qiara</cp:lastModifiedBy>
  <dcterms:created xsi:type="dcterms:W3CDTF">2005-05-02T21:37:23Z</dcterms:created>
  <dcterms:modified xsi:type="dcterms:W3CDTF">2026-10-24T15:44:17Z</dcterms:modified>
</cp:coreProperties>
</file>